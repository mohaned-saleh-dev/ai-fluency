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26" sheetId="2" r:id="rId2"/>
  </sheets>
  <calcPr calcId="124519" fullCalcOnLoad="1"/>
</workbook>
</file>

<file path=xl/sharedStrings.xml><?xml version="1.0" encoding="utf-8"?>
<sst xmlns="http://schemas.openxmlformats.org/spreadsheetml/2006/main" count="58" uniqueCount="42">
  <si>
    <t>2025 performance vs. projections (without AI Chat Agent)</t>
  </si>
  <si>
    <t>Scenario</t>
  </si>
  <si>
    <t>If we had not shipped the AI Chat Agent: constant contact rate, volume scales with business growth.</t>
  </si>
  <si>
    <t>Metric</t>
  </si>
  <si>
    <t>Baseline 2025</t>
  </si>
  <si>
    <t>Projected EoY 2025</t>
  </si>
  <si>
    <t>Delta</t>
  </si>
  <si>
    <t>Contact rate</t>
  </si>
  <si>
    <t>Chats per year (millions)</t>
  </si>
  <si>
    <t>Handed off to human agents (millions)</t>
  </si>
  <si>
    <t>Care advisor need (relative scale)</t>
  </si>
  <si>
    <t>Business growth (YoY), driving volume</t>
  </si>
  <si>
    <t>Notes for the deck</t>
  </si>
  <si>
    <t>Edit baseline (B) and projected (C) as needed. C6 = B6 (flat contact rate). Delta is C-B. Business growth % is B10. Chart blocks reference the main table via formulas.</t>
  </si>
  <si>
    <t>Chart data (used by graphs below)</t>
  </si>
  <si>
    <t>Series / period</t>
  </si>
  <si>
    <t>Change</t>
  </si>
  <si>
    <t>Chats per year (M)</t>
  </si>
  <si>
    <t>Handoffs to agents (M)</t>
  </si>
  <si>
    <t>Care advisor need (index)</t>
  </si>
  <si>
    <t>Trend chart (normalized)</t>
  </si>
  <si>
    <t>Point</t>
  </si>
  <si>
    <t>Chats</t>
  </si>
  <si>
    <t>Handoffs</t>
  </si>
  <si>
    <t>Advisor need</t>
  </si>
  <si>
    <t>2026 operating view (with AI Chat Agent)</t>
  </si>
  <si>
    <t>Operating view with the AI Chat Agent. Period: Throughout 2026. Numbers match leadership slide; edit DATA_2026 in this script to regenerate.</t>
  </si>
  <si>
    <t>2025 proj EoY (no AI ref)</t>
  </si>
  <si>
    <t>2026 (with AI Agent)</t>
  </si>
  <si>
    <t>Delta vs stress path</t>
  </si>
  <si>
    <t>Chats fully supported by AI (containment)</t>
  </si>
  <si>
    <t>-</t>
  </si>
  <si>
    <t>Care staffing (index; 2.0 = stress-path double)</t>
  </si>
  <si>
    <t>Business growth (YoY)</t>
  </si>
  <si>
    <t>Annualized savings (USD, millions)</t>
  </si>
  <si>
    <t>Notes</t>
  </si>
  <si>
    <t>Column B references the 2025 sheet (stress path) where applicable. Containment = 1 minus (handoffs / chats). Edit C6:C12 for 2026 inputs; B updates from 2025 automatically. Chart block below uses formulas.</t>
  </si>
  <si>
    <t>Chart data (linked to table above)</t>
  </si>
  <si>
    <t>Stress (no AI ref)</t>
  </si>
  <si>
    <t>With AI (2026)</t>
  </si>
  <si>
    <t>Care staffing (index)</t>
  </si>
  <si>
    <t>Contact rate (linked)</t>
  </si>
</sst>
</file>

<file path=xl/styles.xml><?xml version="1.0" encoding="utf-8"?>
<styleSheet xmlns="http://schemas.openxmlformats.org/spreadsheetml/2006/main">
  <numFmts count="5">
    <numFmt numFmtId="164" formatCode="0.0%"/>
    <numFmt numFmtId="165" formatCode="0.00%"/>
    <numFmt numFmtId="166" formatCode="0.0"/>
    <numFmt numFmtId="167" formatCode="0.00&quot;x&quot;"/>
    <numFmt numFmtId="168" formatCode="[$$-409]#,##0.00&quot;M&quot;"/>
  </numFmts>
  <fonts count="5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b/>
      <sz val="10"/>
      <color rgb="FF0F172A"/>
      <name val="Calibri"/>
      <family val="2"/>
      <scheme val="minor"/>
    </font>
    <font>
      <i/>
      <sz val="9"/>
      <color rgb="FF94A3B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D7377"/>
        <bgColor indexed="64"/>
      </patternFill>
    </fill>
    <fill>
      <patternFill patternType="solid">
        <fgColor rgb="FFE8ECEF"/>
        <bgColor indexed="64"/>
      </patternFill>
    </fill>
  </fills>
  <borders count="3">
    <border>
      <left/>
      <right/>
      <top/>
      <bottom/>
      <diagonal/>
    </border>
    <border>
      <left style="thin">
        <color rgb="FF0D7377"/>
      </left>
      <right style="thin">
        <color rgb="FF0D7377"/>
      </right>
      <top style="thin">
        <color rgb="FF0D7377"/>
      </top>
      <bottom style="thin">
        <color rgb="FF0D7377"/>
      </bottom>
      <diagonal/>
    </border>
    <border>
      <left style="thin">
        <color rgb="FFCCD3D9"/>
      </left>
      <right style="thin">
        <color rgb="FFCCD3D9"/>
      </right>
      <top style="thin">
        <color rgb="FFCCD3D9"/>
      </top>
      <bottom style="thin">
        <color rgb="FFCCD3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indent="1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500" b="1" baseline="0">
                <a:solidFill>
                  <a:srgbClr val="F8FAFC"/>
                </a:solidFill>
              </a:defRPr>
            </a:pPr>
            <a:r>
              <a:rPr lang="en-US" sz="1500" b="1" baseline="0">
                <a:solidFill>
                  <a:srgbClr val="F8FAFC"/>
                </a:solidFill>
              </a:rPr>
              <a:t>The volume cliff
Chats and human handoffs (M per year) if nothing changes but the business grows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Baseline 2025</c:v>
          </c:tx>
          <c:spPr>
            <a:solidFill/>
            <a:ln w="9525">
              <a:solidFill>
                <a:srgbClr val="042F2E"/>
              </a:solidFill>
            </a:ln>
          </c:spPr>
          <c:dLbls>
            <c:numFmt formatCode="0.0" sourceLinked="0"/>
            <c:txPr>
              <a:bodyPr/>
              <a:lstStyle/>
              <a:p>
                <a:pPr>
                  <a:defRPr sz="1000" b="1" baseline="0">
                    <a:solidFill>
                      <a:srgbClr val="F1F5F9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'2025'!$A$17:$A$18</c:f>
              <c:strCache>
                <c:ptCount val="2"/>
                <c:pt idx="0">
                  <c:v>Chats per year (M)</c:v>
                </c:pt>
                <c:pt idx="1">
                  <c:v>Handoffs to agents (M)</c:v>
                </c:pt>
              </c:strCache>
            </c:strRef>
          </c:cat>
          <c:val>
            <c:numRef>
              <c:f>'2025'!$B$17:$B$18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Projected EoY 2025 (no AI Chat Agent)</c:v>
          </c:tx>
          <c:spPr>
            <a:solidFill/>
            <a:ln w="9525">
              <a:solidFill>
                <a:srgbClr val="431407"/>
              </a:solidFill>
            </a:ln>
          </c:spPr>
          <c:dLbls>
            <c:numFmt formatCode="0.0" sourceLinked="0"/>
            <c:txPr>
              <a:bodyPr/>
              <a:lstStyle/>
              <a:p>
                <a:pPr>
                  <a:defRPr sz="1000" b="1" baseline="0">
                    <a:solidFill>
                      <a:srgbClr val="FFEDD5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'2025'!$A$17:$A$18</c:f>
              <c:strCache>
                <c:ptCount val="2"/>
                <c:pt idx="0">
                  <c:v>Chats per year (M)</c:v>
                </c:pt>
                <c:pt idx="1">
                  <c:v>Handoffs to agents (M)</c:v>
                </c:pt>
              </c:strCache>
            </c:strRef>
          </c:cat>
          <c:val>
            <c:numRef>
              <c:f>'2025'!$C$17:$C$18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1000" baseline="0">
                <a:solidFill>
                  <a:srgbClr val="CBD5E1"/>
                </a:solidFill>
              </a:defRPr>
            </a:pPr>
            <a:endParaRPr lang="en-US"/>
          </a:p>
        </c:txPr>
        <c:crossAx val="50010002"/>
        <c:crosses val="autoZero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>
          <c:spPr>
            <a:ln>
              <a:solidFill>
                <a:srgbClr val="1E293B">
                  <a:alpha val="65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94A3B8"/>
                    </a:solidFill>
                  </a:defRPr>
                </a:pPr>
                <a:r>
                  <a:rPr lang="en-US" sz="1000" baseline="0">
                    <a:solidFill>
                      <a:srgbClr val="94A3B8"/>
                    </a:solidFill>
                  </a:rPr>
                  <a:t>Millions per year</a:t>
                </a:r>
              </a:p>
            </c:rich>
          </c:tx>
          <c:layout/>
        </c:title>
        <c:numFmt formatCode="0.0" sourceLinked="0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1000" baseline="0">
                <a:solidFill>
                  <a:srgbClr val="CBD5E1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E2E8F0"/>
              </a:solidFill>
            </a:defRPr>
          </a:pPr>
          <a:endParaRPr lang="en-US"/>
        </a:p>
      </c:txPr>
    </c:legend>
    <c:plotVisOnly val="1"/>
  </c:chart>
  <c:spPr>
    <a:solidFill/>
    <a:ln w="6350"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F8FAFC"/>
                </a:solidFill>
              </a:defRPr>
            </a:pPr>
            <a:r>
              <a:rPr lang="en-US" sz="1200" b="1" baseline="0">
                <a:solidFill>
                  <a:srgbClr val="F8FAFC"/>
                </a:solidFill>
              </a:rPr>
              <a:t>People scale follows volume
Care advisor capacity (index)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Baseline 2025</c:v>
          </c:tx>
          <c:spPr>
            <a:solidFill/>
            <a:ln w="9525">
              <a:solidFill>
                <a:srgbClr val="042F2E"/>
              </a:solidFill>
            </a:ln>
          </c:spPr>
          <c:dLbls>
            <c:numFmt formatCode="0.0" sourceLinked="0"/>
            <c:txPr>
              <a:bodyPr/>
              <a:lstStyle/>
              <a:p>
                <a:pPr>
                  <a:defRPr sz="1000" b="1" baseline="0">
                    <a:solidFill>
                      <a:srgbClr val="F1F5F9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'2025'!$A$19</c:f>
              <c:strCache>
                <c:ptCount val="1"/>
                <c:pt idx="0">
                  <c:v>Care advisor need (index)</c:v>
                </c:pt>
              </c:strCache>
            </c:strRef>
          </c:cat>
          <c:val>
            <c:numRef>
              <c:f>'2025'!$B$19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Projected EoY 2025 (no AI Chat Agent)</c:v>
          </c:tx>
          <c:spPr>
            <a:solidFill/>
            <a:ln w="9525">
              <a:solidFill>
                <a:srgbClr val="431407"/>
              </a:solidFill>
            </a:ln>
          </c:spPr>
          <c:dLbls>
            <c:numFmt formatCode="0.0" sourceLinked="0"/>
            <c:txPr>
              <a:bodyPr/>
              <a:lstStyle/>
              <a:p>
                <a:pPr>
                  <a:defRPr sz="1000" b="1" baseline="0">
                    <a:solidFill>
                      <a:srgbClr val="FFEDD5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'2025'!$A$19</c:f>
              <c:strCache>
                <c:ptCount val="1"/>
                <c:pt idx="0">
                  <c:v>Care advisor need (index)</c:v>
                </c:pt>
              </c:strCache>
            </c:strRef>
          </c:cat>
          <c:val>
            <c:numRef>
              <c:f>'2025'!$C$19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1000" baseline="0">
                <a:solidFill>
                  <a:srgbClr val="CBD5E1"/>
                </a:solidFill>
              </a:defRPr>
            </a:pPr>
            <a:endParaRPr lang="en-US"/>
          </a:p>
        </c:txPr>
        <c:crossAx val="50020002"/>
        <c:crosses val="autoZero"/>
        <c:lblAlgn val="ctr"/>
        <c:lblOffset val="100"/>
      </c:catAx>
      <c:valAx>
        <c:axId val="50020002"/>
        <c:scaling>
          <c:orientation val="minMax"/>
          <c:max val="2.5"/>
          <c:min val="0"/>
        </c:scaling>
        <c:axPos val="l"/>
        <c:majorGridlines>
          <c:spPr>
            <a:ln>
              <a:solidFill>
                <a:srgbClr val="1E293B">
                  <a:alpha val="6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94A3B8"/>
                    </a:solidFill>
                  </a:defRPr>
                </a:pPr>
                <a:r>
                  <a:rPr lang="en-US" sz="1000" baseline="0">
                    <a:solidFill>
                      <a:srgbClr val="94A3B8"/>
                    </a:solidFill>
                  </a:rPr>
                  <a:t>Index (baseline = 1.0)</a:t>
                </a:r>
              </a:p>
            </c:rich>
          </c:tx>
          <c:layout/>
        </c:title>
        <c:numFmt formatCode="0.0" sourceLinked="0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1000" baseline="0">
                <a:solidFill>
                  <a:srgbClr val="CBD5E1"/>
                </a:solidFill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E2E8F0"/>
              </a:solidFill>
            </a:defRPr>
          </a:pPr>
          <a:endParaRPr lang="en-US"/>
        </a:p>
      </c:txPr>
    </c:legend>
    <c:plotVisOnly val="1"/>
  </c:chart>
  <c:spPr>
    <a:solidFill/>
    <a:ln w="6350"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F8FAFC"/>
                </a:solidFill>
              </a:defRPr>
            </a:pPr>
            <a:r>
              <a:rPr lang="en-US" sz="1400" b="1" baseline="0">
                <a:solidFill>
                  <a:srgbClr val="F8FAFC"/>
                </a:solidFill>
              </a:rPr>
              <a:t>One trajectory, three signals
Indexed to baseline = 1.0 (flat contact rate, 65% business growth)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Chats (normalized)</c:v>
          </c:tx>
          <c:spPr>
            <a:ln w="63500">
              <a:solidFill>
                <a:srgbClr val="2DD4BF"/>
              </a:solidFill>
            </a:ln>
          </c:spPr>
          <c:marker>
            <c:symbol val="circle"/>
            <c:size val="12"/>
            <c:spPr>
              <a:solidFill>
                <a:srgbClr val="14B8A6"/>
              </a:solidFill>
              <a:ln w="19050">
                <a:solidFill>
                  <a:srgbClr val="ECFEFF"/>
                </a:solidFill>
              </a:ln>
            </c:spPr>
          </c:marker>
          <c:dLbls>
            <c:numFmt formatCode="0.00" sourceLinked="0"/>
            <c:txPr>
              <a:bodyPr/>
              <a:lstStyle/>
              <a:p>
                <a:pPr>
                  <a:defRPr sz="900" b="1" baseline="0">
                    <a:solidFill>
                      <a:srgbClr val="F8FAFC"/>
                    </a:solidFill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'2025'!$A$23:$A$24</c:f>
              <c:strCache>
                <c:ptCount val="2"/>
                <c:pt idx="0">
                  <c:v>Baseline 2025</c:v>
                </c:pt>
                <c:pt idx="1">
                  <c:v>Projected EoY 2025</c:v>
                </c:pt>
              </c:strCache>
            </c:strRef>
          </c:cat>
          <c:val>
            <c:numRef>
              <c:f>'2025'!$B$23:$B$24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Handoffs (normalized)</c:v>
          </c:tx>
          <c:spPr>
            <a:ln w="63500">
              <a:solidFill>
                <a:srgbClr val="FB7185"/>
              </a:solidFill>
            </a:ln>
          </c:spPr>
          <c:marker>
            <c:symbol val="circle"/>
            <c:size val="12"/>
            <c:spPr>
              <a:solidFill>
                <a:srgbClr val="F43F5E"/>
              </a:solidFill>
              <a:ln w="19050">
                <a:solidFill>
                  <a:srgbClr val="FFF1F2"/>
                </a:solidFill>
              </a:ln>
            </c:spPr>
          </c:marker>
          <c:dLbls>
            <c:numFmt formatCode="0.00" sourceLinked="0"/>
            <c:txPr>
              <a:bodyPr/>
              <a:lstStyle/>
              <a:p>
                <a:pPr>
                  <a:defRPr sz="900" b="1" baseline="0">
                    <a:solidFill>
                      <a:srgbClr val="F8FAFC"/>
                    </a:solidFill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'2025'!$A$23:$A$24</c:f>
              <c:strCache>
                <c:ptCount val="2"/>
                <c:pt idx="0">
                  <c:v>Baseline 2025</c:v>
                </c:pt>
                <c:pt idx="1">
                  <c:v>Projected EoY 2025</c:v>
                </c:pt>
              </c:strCache>
            </c:strRef>
          </c:cat>
          <c:val>
            <c:numRef>
              <c:f>'2025'!$C$23:$C$24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Advisor need (index)</c:v>
          </c:tx>
          <c:spPr>
            <a:ln w="50800">
              <a:solidFill>
                <a:srgbClr val="A78BFA"/>
              </a:solidFill>
              <a:prstDash val="dash"/>
            </a:ln>
          </c:spPr>
          <c:marker>
            <c:symbol val="diamond"/>
            <c:size val="10"/>
            <c:spPr>
              <a:solidFill>
                <a:srgbClr val="7C3AED"/>
              </a:solidFill>
              <a:ln w="15875">
                <a:solidFill>
                  <a:srgbClr val="EDE9FE"/>
                </a:solidFill>
              </a:ln>
            </c:spPr>
          </c:marker>
          <c:dLbls>
            <c:numFmt formatCode="0.00" sourceLinked="0"/>
            <c:txPr>
              <a:bodyPr/>
              <a:lstStyle/>
              <a:p>
                <a:pPr>
                  <a:defRPr sz="900" b="1" baseline="0">
                    <a:solidFill>
                      <a:srgbClr val="F8FAFC"/>
                    </a:solidFill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'2025'!$A$23:$A$24</c:f>
              <c:strCache>
                <c:ptCount val="2"/>
                <c:pt idx="0">
                  <c:v>Baseline 2025</c:v>
                </c:pt>
                <c:pt idx="1">
                  <c:v>Projected EoY 2025</c:v>
                </c:pt>
              </c:strCache>
            </c:strRef>
          </c:cat>
          <c:val>
            <c:numRef>
              <c:f>'2025'!$D$23:$D$24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1000" baseline="0">
                <a:solidFill>
                  <a:srgbClr val="CBD5E1"/>
                </a:solidFill>
              </a:defRPr>
            </a:pPr>
            <a:endParaRPr lang="en-US"/>
          </a:p>
        </c:txPr>
        <c:crossAx val="50030002"/>
        <c:crosses val="autoZero"/>
        <c:lblAlgn val="ctr"/>
        <c:lblOffset val="100"/>
      </c:catAx>
      <c:valAx>
        <c:axId val="50030002"/>
        <c:scaling>
          <c:orientation val="minMax"/>
          <c:max val="2.5"/>
          <c:min val="0"/>
        </c:scaling>
        <c:axPos val="l"/>
        <c:majorGridlines>
          <c:spPr>
            <a:ln>
              <a:solidFill>
                <a:srgbClr val="1E293B">
                  <a:alpha val="65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solidFill>
                      <a:srgbClr val="94A3B8"/>
                    </a:solidFill>
                  </a:defRPr>
                </a:pPr>
                <a:r>
                  <a:rPr lang="en-US" sz="1000" baseline="0">
                    <a:solidFill>
                      <a:srgbClr val="94A3B8"/>
                    </a:solidFill>
                  </a:rPr>
                  <a:t>Index vs baseline (1.0 = start of 2025)</a:t>
                </a:r>
              </a:p>
            </c:rich>
          </c:tx>
          <c:layout/>
        </c:title>
        <c:numFmt formatCode="0.0" sourceLinked="0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1000" baseline="0">
                <a:solidFill>
                  <a:srgbClr val="CBD5E1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E2E8F0"/>
              </a:solidFill>
            </a:defRPr>
          </a:pPr>
          <a:endParaRPr lang="en-US"/>
        </a:p>
      </c:txPr>
    </c:legend>
    <c:plotVisOnly val="1"/>
  </c:chart>
  <c:spPr>
    <a:solidFill/>
    <a:ln w="6350"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500" b="1" baseline="0">
                <a:solidFill>
                  <a:srgbClr val="F8FAFC"/>
                </a:solidFill>
              </a:defRPr>
            </a:pPr>
            <a:r>
              <a:rPr lang="en-US" sz="1500" b="1" baseline="0">
                <a:solidFill>
                  <a:srgbClr val="F8FAFC"/>
                </a:solidFill>
              </a:rPr>
              <a:t>Volume and staffing pressure
Stress path vs 2026 with AI (millions / index)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2025 proj EoY (no AI ref)</c:v>
          </c:tx>
          <c:spPr>
            <a:solidFill/>
            <a:ln w="9525">
              <a:solidFill>
                <a:srgbClr val="431407"/>
              </a:solidFill>
            </a:ln>
          </c:spPr>
          <c:dLbls>
            <c:numFmt formatCode="0.0" sourceLinked="0"/>
            <c:txPr>
              <a:bodyPr/>
              <a:lstStyle/>
              <a:p>
                <a:pPr>
                  <a:defRPr sz="1000" b="1" baseline="0">
                    <a:solidFill>
                      <a:srgbClr val="FFEDD5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'2026'!$A$21:$A$23</c:f>
              <c:strCache>
                <c:ptCount val="3"/>
                <c:pt idx="0">
                  <c:v>Chats per year (M)</c:v>
                </c:pt>
                <c:pt idx="1">
                  <c:v>Handoffs to agents (M)</c:v>
                </c:pt>
                <c:pt idx="2">
                  <c:v>Care staffing (index)</c:v>
                </c:pt>
              </c:strCache>
            </c:strRef>
          </c:cat>
          <c:val>
            <c:numRef>
              <c:f>'2026'!$B$21:$B$23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v>2026 with AI Agent</c:v>
          </c:tx>
          <c:spPr>
            <a:solidFill/>
            <a:ln w="9525">
              <a:solidFill>
                <a:srgbClr val="022C22"/>
              </a:solidFill>
            </a:ln>
          </c:spPr>
          <c:dLbls>
            <c:numFmt formatCode="0.0" sourceLinked="0"/>
            <c:txPr>
              <a:bodyPr/>
              <a:lstStyle/>
              <a:p>
                <a:pPr>
                  <a:defRPr sz="1000" b="1" baseline="0">
                    <a:solidFill>
                      <a:srgbClr val="F1F5F9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'2026'!$A$21:$A$23</c:f>
              <c:strCache>
                <c:ptCount val="3"/>
                <c:pt idx="0">
                  <c:v>Chats per year (M)</c:v>
                </c:pt>
                <c:pt idx="1">
                  <c:v>Handoffs to agents (M)</c:v>
                </c:pt>
                <c:pt idx="2">
                  <c:v>Care staffing (index)</c:v>
                </c:pt>
              </c:strCache>
            </c:strRef>
          </c:cat>
          <c:val>
            <c:numRef>
              <c:f>'2026'!$C$21:$C$23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1000" baseline="0">
                <a:solidFill>
                  <a:srgbClr val="CBD5E1"/>
                </a:solidFill>
              </a:defRPr>
            </a:pPr>
            <a:endParaRPr lang="en-US"/>
          </a:p>
        </c:txPr>
        <c:crossAx val="50040002"/>
        <c:crosses val="autoZero"/>
        <c:lblAlgn val="ctr"/>
        <c:lblOffset val="100"/>
      </c:catAx>
      <c:valAx>
        <c:axId val="50040002"/>
        <c:scaling>
          <c:orientation val="minMax"/>
          <c:min val="0"/>
        </c:scaling>
        <c:axPos val="l"/>
        <c:majorGridlines>
          <c:spPr>
            <a:ln>
              <a:solidFill>
                <a:srgbClr val="1E293B">
                  <a:alpha val="65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94A3B8"/>
                    </a:solidFill>
                  </a:defRPr>
                </a:pPr>
                <a:r>
                  <a:rPr lang="en-US" sz="1000" baseline="0">
                    <a:solidFill>
                      <a:srgbClr val="94A3B8"/>
                    </a:solidFill>
                  </a:rPr>
                  <a:t>Scale (M or index)</a:t>
                </a:r>
              </a:p>
            </c:rich>
          </c:tx>
          <c:layout/>
        </c:title>
        <c:numFmt formatCode="0.0" sourceLinked="0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1000" baseline="0">
                <a:solidFill>
                  <a:srgbClr val="CBD5E1"/>
                </a:solidFill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solid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E2E8F0"/>
              </a:solidFill>
            </a:defRPr>
          </a:pPr>
          <a:endParaRPr lang="en-US"/>
        </a:p>
      </c:txPr>
    </c:legend>
    <c:plotVisOnly val="1"/>
  </c:chart>
  <c:spPr>
    <a:solidFill/>
    <a:ln w="6350"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solidFill>
                  <a:srgbClr val="F8FAFC"/>
                </a:solidFill>
              </a:defRPr>
            </a:pPr>
            <a:r>
              <a:rPr lang="en-US" sz="1300" b="1" baseline="0">
                <a:solidFill>
                  <a:srgbClr val="F8FAFC"/>
                </a:solidFill>
              </a:rPr>
              <a:t>Contact rate
Stress path vs 2026 with AI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Stress (no AI ref)</c:v>
          </c:tx>
          <c:spPr>
            <a:solidFill/>
            <a:ln w="9525">
              <a:solidFill>
                <a:srgbClr val="431407"/>
              </a:solidFill>
            </a:ln>
          </c:spPr>
          <c:dLbls>
            <c:numFmt formatCode="0.0%" sourceLinked="0"/>
            <c:txPr>
              <a:bodyPr/>
              <a:lstStyle/>
              <a:p>
                <a:pPr>
                  <a:defRPr sz="1000" b="1" baseline="0">
                    <a:solidFill>
                      <a:srgbClr val="FFEDD5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'2026'!$A$27</c:f>
              <c:strCache>
                <c:ptCount val="1"/>
                <c:pt idx="0">
                  <c:v>Contact rate</c:v>
                </c:pt>
              </c:strCache>
            </c:strRef>
          </c:cat>
          <c:val>
            <c:numRef>
              <c:f>'2026'!$B$27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With AI (2026)</c:v>
          </c:tx>
          <c:spPr>
            <a:solidFill/>
            <a:ln w="9525">
              <a:solidFill>
                <a:srgbClr val="022C22"/>
              </a:solidFill>
            </a:ln>
          </c:spPr>
          <c:dLbls>
            <c:numFmt formatCode="0.0%" sourceLinked="0"/>
            <c:txPr>
              <a:bodyPr/>
              <a:lstStyle/>
              <a:p>
                <a:pPr>
                  <a:defRPr sz="1000" b="1" baseline="0">
                    <a:solidFill>
                      <a:srgbClr val="F1F5F9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'2026'!$A$27</c:f>
              <c:strCache>
                <c:ptCount val="1"/>
                <c:pt idx="0">
                  <c:v>Contact rate</c:v>
                </c:pt>
              </c:strCache>
            </c:strRef>
          </c:cat>
          <c:val>
            <c:numRef>
              <c:f>'2026'!$C$27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1000" baseline="0">
                <a:solidFill>
                  <a:srgbClr val="CBD5E1"/>
                </a:solidFill>
              </a:defRPr>
            </a:pPr>
            <a:endParaRPr lang="en-US"/>
          </a:p>
        </c:txPr>
        <c:crossAx val="50050002"/>
        <c:crosses val="autoZero"/>
        <c:lblAlgn val="ctr"/>
        <c:lblOffset val="100"/>
      </c:catAx>
      <c:valAx>
        <c:axId val="50050002"/>
        <c:scaling>
          <c:orientation val="minMax"/>
          <c:max val="0.03"/>
          <c:min val="0"/>
        </c:scaling>
        <c:axPos val="l"/>
        <c:majorGridlines>
          <c:spPr>
            <a:ln>
              <a:solidFill>
                <a:srgbClr val="1E293B">
                  <a:alpha val="6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94A3B8"/>
                    </a:solidFill>
                  </a:defRPr>
                </a:pPr>
                <a:r>
                  <a:rPr lang="en-US" sz="1000" baseline="0">
                    <a:solidFill>
                      <a:srgbClr val="94A3B8"/>
                    </a:solidFill>
                  </a:rPr>
                  <a:t>Percent of attempts</a:t>
                </a:r>
              </a:p>
            </c:rich>
          </c:tx>
          <c:layout/>
        </c:title>
        <c:numFmt formatCode="0.0%" sourceLinked="0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1000" baseline="0">
                <a:solidFill>
                  <a:srgbClr val="CBD5E1"/>
                </a:solidFill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E2E8F0"/>
              </a:solidFill>
            </a:defRPr>
          </a:pPr>
          <a:endParaRPr lang="en-US"/>
        </a:p>
      </c:txPr>
    </c:legend>
    <c:plotVisOnly val="1"/>
  </c:chart>
  <c:spPr>
    <a:solidFill/>
    <a:ln w="6350"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19</xdr:col>
      <xdr:colOff>228600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27</xdr:row>
      <xdr:rowOff>0</xdr:rowOff>
    </xdr:from>
    <xdr:to>
      <xdr:col>13</xdr:col>
      <xdr:colOff>76200</xdr:colOff>
      <xdr:row>44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49</xdr:row>
      <xdr:rowOff>0</xdr:rowOff>
    </xdr:from>
    <xdr:to>
      <xdr:col>19</xdr:col>
      <xdr:colOff>228600</xdr:colOff>
      <xdr:row>69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20</xdr:col>
      <xdr:colOff>228600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14</xdr:col>
      <xdr:colOff>76200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D7377"/>
  </sheetPr>
  <dimension ref="A1:D24"/>
  <sheetViews>
    <sheetView showGridLines="0" tabSelected="1" workbookViewId="0"/>
  </sheetViews>
  <sheetFormatPr defaultRowHeight="15"/>
  <cols>
    <col min="1" max="1" width="36.7109375" customWidth="1"/>
    <col min="2" max="4" width="16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3" t="s">
        <v>2</v>
      </c>
      <c r="C3" s="3"/>
      <c r="D3" s="3"/>
    </row>
    <row r="5" spans="1:4">
      <c r="A5" s="4" t="s">
        <v>3</v>
      </c>
      <c r="B5" s="4" t="s">
        <v>4</v>
      </c>
      <c r="C5" s="4" t="s">
        <v>5</v>
      </c>
      <c r="D5" s="4" t="s">
        <v>6</v>
      </c>
    </row>
    <row r="6" spans="1:4">
      <c r="A6" s="5" t="s">
        <v>7</v>
      </c>
      <c r="B6" s="6">
        <v>0.022</v>
      </c>
      <c r="C6" s="6">
        <f>B6</f>
        <v>0</v>
      </c>
      <c r="D6" s="7">
        <f>C6-B6</f>
        <v>0</v>
      </c>
    </row>
    <row r="7" spans="1:4">
      <c r="A7" s="5" t="s">
        <v>8</v>
      </c>
      <c r="B7" s="8">
        <v>4.9</v>
      </c>
      <c r="C7" s="8">
        <v>8</v>
      </c>
      <c r="D7" s="8">
        <f>C7-B7</f>
        <v>0</v>
      </c>
    </row>
    <row r="8" spans="1:4">
      <c r="A8" s="5" t="s">
        <v>9</v>
      </c>
      <c r="B8" s="8">
        <v>1</v>
      </c>
      <c r="C8" s="8">
        <v>1.7</v>
      </c>
      <c r="D8" s="8">
        <f>C8-B8</f>
        <v>0</v>
      </c>
    </row>
    <row r="9" spans="1:4">
      <c r="A9" s="5" t="s">
        <v>10</v>
      </c>
      <c r="B9" s="8">
        <v>1</v>
      </c>
      <c r="C9" s="8">
        <v>2</v>
      </c>
      <c r="D9" s="8">
        <f>C9-B9</f>
        <v>0</v>
      </c>
    </row>
    <row r="10" spans="1:4">
      <c r="A10" s="5" t="s">
        <v>11</v>
      </c>
      <c r="B10" s="6">
        <v>0.65</v>
      </c>
      <c r="C10" s="3"/>
      <c r="D10" s="3"/>
    </row>
    <row r="12" spans="1:4">
      <c r="A12" s="2" t="s">
        <v>12</v>
      </c>
    </row>
    <row r="13" spans="1:4">
      <c r="A13" s="3" t="s">
        <v>13</v>
      </c>
      <c r="B13" s="3"/>
      <c r="C13" s="3"/>
      <c r="D13" s="3"/>
    </row>
    <row r="14" spans="1:4">
      <c r="A14" s="3"/>
      <c r="B14" s="3"/>
      <c r="C14" s="3"/>
      <c r="D14" s="3"/>
    </row>
    <row r="15" spans="1:4">
      <c r="A15" s="2" t="s">
        <v>14</v>
      </c>
      <c r="B15" s="3"/>
      <c r="C15" s="3"/>
      <c r="D15" s="3"/>
    </row>
    <row r="16" spans="1:4">
      <c r="A16" s="4" t="s">
        <v>15</v>
      </c>
      <c r="B16" s="4" t="s">
        <v>4</v>
      </c>
      <c r="C16" s="4" t="s">
        <v>5</v>
      </c>
      <c r="D16" s="4" t="s">
        <v>16</v>
      </c>
    </row>
    <row r="17" spans="1:4">
      <c r="A17" s="5" t="s">
        <v>17</v>
      </c>
      <c r="B17" s="8">
        <f>$B$7</f>
        <v>0</v>
      </c>
      <c r="C17" s="8">
        <f>$C$7</f>
        <v>0</v>
      </c>
      <c r="D17" s="9">
        <f>$C$7/$B$7</f>
        <v>0</v>
      </c>
    </row>
    <row r="18" spans="1:4">
      <c r="A18" s="5" t="s">
        <v>18</v>
      </c>
      <c r="B18" s="8">
        <f>$B$8</f>
        <v>0</v>
      </c>
      <c r="C18" s="8">
        <f>$C$8</f>
        <v>0</v>
      </c>
      <c r="D18" s="9">
        <f>$C$8/$B$8</f>
        <v>0</v>
      </c>
    </row>
    <row r="19" spans="1:4">
      <c r="A19" s="5" t="s">
        <v>19</v>
      </c>
      <c r="B19" s="8">
        <f>$B$9</f>
        <v>0</v>
      </c>
      <c r="C19" s="8">
        <f>$C$9</f>
        <v>0</v>
      </c>
      <c r="D19" s="9">
        <f>$C$9/$B$9</f>
        <v>0</v>
      </c>
    </row>
    <row r="21" spans="1:4">
      <c r="A21" s="2" t="s">
        <v>20</v>
      </c>
    </row>
    <row r="22" spans="1:4">
      <c r="A22" s="4" t="s">
        <v>21</v>
      </c>
      <c r="B22" s="4" t="s">
        <v>22</v>
      </c>
      <c r="C22" s="4" t="s">
        <v>23</v>
      </c>
      <c r="D22" s="4" t="s">
        <v>24</v>
      </c>
    </row>
    <row r="23" spans="1:4">
      <c r="A23" s="5" t="s">
        <v>4</v>
      </c>
      <c r="B23" s="8">
        <v>1</v>
      </c>
      <c r="C23" s="8">
        <v>1</v>
      </c>
      <c r="D23" s="8">
        <v>1</v>
      </c>
    </row>
    <row r="24" spans="1:4">
      <c r="A24" s="5" t="s">
        <v>5</v>
      </c>
      <c r="B24" s="8">
        <f>$C$7/$B$7</f>
        <v>0</v>
      </c>
      <c r="C24" s="8">
        <f>$C$8/$B$8</f>
        <v>0</v>
      </c>
      <c r="D24" s="8">
        <f>$C$9/$B$9</f>
        <v>0</v>
      </c>
    </row>
  </sheetData>
  <mergeCells count="3">
    <mergeCell ref="A1:D1"/>
    <mergeCell ref="B3:D3"/>
    <mergeCell ref="A13:D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C3AED"/>
  </sheetPr>
  <dimension ref="A1:E27"/>
  <sheetViews>
    <sheetView showGridLines="0" workbookViewId="0"/>
  </sheetViews>
  <sheetFormatPr defaultRowHeight="15"/>
  <cols>
    <col min="1" max="1" width="38.7109375" customWidth="1"/>
    <col min="2" max="5" width="15.7109375" customWidth="1"/>
  </cols>
  <sheetData>
    <row r="1" spans="1:5">
      <c r="A1" s="1" t="s">
        <v>25</v>
      </c>
      <c r="B1" s="1"/>
      <c r="C1" s="1"/>
      <c r="D1" s="1"/>
      <c r="E1" s="1"/>
    </row>
    <row r="3" spans="1:5">
      <c r="A3" s="2" t="s">
        <v>1</v>
      </c>
      <c r="B3" s="3" t="s">
        <v>26</v>
      </c>
      <c r="C3" s="3"/>
      <c r="D3" s="3"/>
      <c r="E3" s="3"/>
    </row>
    <row r="5" spans="1:5">
      <c r="A5" s="4" t="s">
        <v>3</v>
      </c>
      <c r="B5" s="4" t="s">
        <v>27</v>
      </c>
      <c r="C5" s="4" t="s">
        <v>28</v>
      </c>
      <c r="D5" s="4" t="s">
        <v>29</v>
      </c>
    </row>
    <row r="6" spans="1:5">
      <c r="A6" s="5" t="s">
        <v>7</v>
      </c>
      <c r="B6" s="6">
        <f>'2025'!C6</f>
        <v>0</v>
      </c>
      <c r="C6" s="6">
        <v>0.01</v>
      </c>
      <c r="D6" s="7">
        <f>C6-B6</f>
        <v>0</v>
      </c>
    </row>
    <row r="7" spans="1:5">
      <c r="A7" s="5" t="s">
        <v>8</v>
      </c>
      <c r="B7" s="8">
        <f>'2025'!C7</f>
        <v>0</v>
      </c>
      <c r="C7" s="8">
        <v>6</v>
      </c>
      <c r="D7" s="8">
        <f>C7-B7</f>
        <v>0</v>
      </c>
    </row>
    <row r="8" spans="1:5">
      <c r="A8" s="5" t="s">
        <v>9</v>
      </c>
      <c r="B8" s="8">
        <f>'2025'!C8</f>
        <v>0</v>
      </c>
      <c r="C8" s="8">
        <v>0.66</v>
      </c>
      <c r="D8" s="8">
        <f>C8-B8</f>
        <v>0</v>
      </c>
    </row>
    <row r="9" spans="1:5">
      <c r="A9" s="5" t="s">
        <v>30</v>
      </c>
      <c r="B9" s="8" t="s">
        <v>31</v>
      </c>
      <c r="C9" s="6">
        <f>1-C8/C7</f>
        <v>0</v>
      </c>
      <c r="D9" s="3"/>
    </row>
    <row r="10" spans="1:5">
      <c r="A10" s="5" t="s">
        <v>32</v>
      </c>
      <c r="B10" s="8">
        <f>'2025'!C9</f>
        <v>0</v>
      </c>
      <c r="C10" s="8">
        <v>0.8</v>
      </c>
      <c r="D10" s="8">
        <f>C10-B10</f>
        <v>0</v>
      </c>
    </row>
    <row r="11" spans="1:5">
      <c r="A11" s="5" t="s">
        <v>33</v>
      </c>
      <c r="B11" s="6">
        <f>'2025'!$B$10</f>
        <v>0</v>
      </c>
      <c r="C11" s="6">
        <v>0.5</v>
      </c>
      <c r="D11" s="7">
        <f>C11-B11</f>
        <v>0</v>
      </c>
    </row>
    <row r="12" spans="1:5">
      <c r="A12" s="5" t="s">
        <v>34</v>
      </c>
      <c r="B12" s="8" t="s">
        <v>31</v>
      </c>
      <c r="C12" s="10">
        <v>1.27</v>
      </c>
      <c r="D12" s="3"/>
    </row>
    <row r="14" spans="1:5">
      <c r="A14" s="2" t="s">
        <v>35</v>
      </c>
    </row>
    <row r="15" spans="1:5">
      <c r="A15" s="3" t="s">
        <v>36</v>
      </c>
      <c r="B15" s="3"/>
      <c r="C15" s="3"/>
      <c r="D15" s="3"/>
    </row>
    <row r="16" spans="1:5">
      <c r="A16" s="3"/>
      <c r="B16" s="3"/>
      <c r="C16" s="3"/>
      <c r="D16" s="3"/>
    </row>
    <row r="19" spans="1:3">
      <c r="A19" s="2" t="s">
        <v>37</v>
      </c>
    </row>
    <row r="20" spans="1:3">
      <c r="A20" s="4" t="s">
        <v>3</v>
      </c>
      <c r="B20" s="4" t="s">
        <v>38</v>
      </c>
      <c r="C20" s="4" t="s">
        <v>39</v>
      </c>
    </row>
    <row r="21" spans="1:3">
      <c r="A21" s="5" t="s">
        <v>17</v>
      </c>
      <c r="B21" s="8">
        <f>$B$7</f>
        <v>0</v>
      </c>
      <c r="C21" s="8">
        <f>$C$7</f>
        <v>0</v>
      </c>
    </row>
    <row r="22" spans="1:3">
      <c r="A22" s="5" t="s">
        <v>18</v>
      </c>
      <c r="B22" s="8">
        <f>$B$8</f>
        <v>0</v>
      </c>
      <c r="C22" s="8">
        <f>$C$8</f>
        <v>0</v>
      </c>
    </row>
    <row r="23" spans="1:3">
      <c r="A23" s="5" t="s">
        <v>40</v>
      </c>
      <c r="B23" s="8">
        <f>$B$10</f>
        <v>0</v>
      </c>
      <c r="C23" s="8">
        <f>$C$10</f>
        <v>0</v>
      </c>
    </row>
    <row r="25" spans="1:3">
      <c r="A25" s="2" t="s">
        <v>41</v>
      </c>
    </row>
    <row r="26" spans="1:3">
      <c r="A26" s="4"/>
      <c r="B26" s="4" t="s">
        <v>38</v>
      </c>
      <c r="C26" s="4" t="s">
        <v>39</v>
      </c>
    </row>
    <row r="27" spans="1:3">
      <c r="A27" s="5" t="s">
        <v>7</v>
      </c>
      <c r="B27" s="6">
        <f>$B$6</f>
        <v>0</v>
      </c>
      <c r="C27" s="6">
        <f>$C$6</f>
        <v>0</v>
      </c>
    </row>
  </sheetData>
  <mergeCells count="3">
    <mergeCell ref="A1:E1"/>
    <mergeCell ref="B3:E3"/>
    <mergeCell ref="A15:D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2026-04-21T14:02:53Z</dcterms:created>
  <dcterms:modified xsi:type="dcterms:W3CDTF">2026-04-21T14:02:53Z</dcterms:modified>
</cp:coreProperties>
</file>